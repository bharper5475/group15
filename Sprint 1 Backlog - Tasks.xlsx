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X81T6nOjVh+Mv18j6n7FbwbNWvsObNQ32lSQjXyJo0="/>
    </ext>
  </extLst>
</workbook>
</file>

<file path=xl/sharedStrings.xml><?xml version="1.0" encoding="utf-8"?>
<sst xmlns="http://schemas.openxmlformats.org/spreadsheetml/2006/main" count="79" uniqueCount="43">
  <si>
    <t>ITSC-3155 Software Engineering</t>
  </si>
  <si>
    <t>Sprint Backlog</t>
  </si>
  <si>
    <t>Story Tasks</t>
  </si>
  <si>
    <t>Story Point</t>
  </si>
  <si>
    <t>Assigned to</t>
  </si>
  <si>
    <t>Estimated Effort</t>
  </si>
  <si>
    <t>Day1</t>
  </si>
  <si>
    <t>DAY 2</t>
  </si>
  <si>
    <t>DAY 3</t>
  </si>
  <si>
    <t>DAY 4</t>
  </si>
  <si>
    <t>DAY 5</t>
  </si>
  <si>
    <t>DAY 6</t>
  </si>
  <si>
    <t>Status</t>
  </si>
  <si>
    <t>SPRINT REVIEW</t>
  </si>
  <si>
    <t>Guest Ordering</t>
  </si>
  <si>
    <t>Done</t>
  </si>
  <si>
    <t>Create Order and OrderItem database models</t>
  </si>
  <si>
    <t>Brad</t>
  </si>
  <si>
    <t>Implement POST /orders to create orders</t>
  </si>
  <si>
    <t>Auto-generate a tracking number</t>
  </si>
  <si>
    <t>Support takeout vs delivery</t>
  </si>
  <si>
    <t>Basic validation + test request</t>
  </si>
  <si>
    <t>Menu Management (CRUD)</t>
  </si>
  <si>
    <t>Create Menu model/schema</t>
  </si>
  <si>
    <r>
      <rPr>
        <rFont val="Arial"/>
        <color rgb="FF000000"/>
        <sz val="10.0"/>
      </rPr>
      <t xml:space="preserve">Implement POST </t>
    </r>
    <r>
      <rPr>
        <rFont val="Arial Unicode MS"/>
        <color rgb="FF000000"/>
        <sz val="10.0"/>
      </rPr>
      <t>/menu</t>
    </r>
  </si>
  <si>
    <t>Josh</t>
  </si>
  <si>
    <r>
      <rPr>
        <rFont val="Arial"/>
        <color rgb="FF000000"/>
        <sz val="10.0"/>
      </rPr>
      <t xml:space="preserve">Implement GET </t>
    </r>
    <r>
      <rPr>
        <rFont val="Arial Unicode MS"/>
        <color rgb="FF000000"/>
        <sz val="10.0"/>
      </rPr>
      <t>/menu</t>
    </r>
  </si>
  <si>
    <t>Implement DELETE /menu/{id}</t>
  </si>
  <si>
    <r>
      <rPr>
        <rFont val="Arial"/>
        <color rgb="FF000000"/>
        <sz val="10.0"/>
      </rPr>
      <t xml:space="preserve">Implement PUT </t>
    </r>
    <r>
      <rPr>
        <rFont val="Arial Unicode MS"/>
        <color rgb="FF000000"/>
        <sz val="10.0"/>
      </rPr>
      <t>/menu/{id}</t>
    </r>
  </si>
  <si>
    <t>Order Tracking</t>
  </si>
  <si>
    <t>Add status field to orders</t>
  </si>
  <si>
    <t>Implement GET /orders/tracking/{tracking_number}</t>
  </si>
  <si>
    <t>Kenny</t>
  </si>
  <si>
    <t>Set default status (“received”) on order creation</t>
  </si>
  <si>
    <t>View Orders (Staff)</t>
  </si>
  <si>
    <t>Implement GET /orders (view all orders)</t>
  </si>
  <si>
    <t>Implement GET /orders/{id} (full order details)</t>
  </si>
  <si>
    <t>Reviews</t>
  </si>
  <si>
    <t>Create Review model/schema</t>
  </si>
  <si>
    <t>Implement POST /reviews</t>
  </si>
  <si>
    <t>Maddy</t>
  </si>
  <si>
    <t>Implement GET /menu/{id}/reviews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</si>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</sst>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0.0"/>
      <color rgb="FFFFFFFF"/>
      <name val="&quot;⋎ntury Gothic\&quot;&quot;"/>
    </font>
    <font>
      <b/>
      <sz val="10.0"/>
      <color rgb="FF000000"/>
      <name val="&quot;⋎ntury Gothic\&quot;&quot;"/>
    </font>
    <font>
      <sz val="12.0"/>
      <color rgb="FF000000"/>
      <name val="Calibri"/>
    </font>
    <font>
      <sz val="10.0"/>
      <color rgb="FF000000"/>
      <name val="&quot;⋎ntury Gothic\&quot;&quot;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6DCE4"/>
        <bgColor rgb="FFD6DCE4"/>
      </patternFill>
    </fill>
    <fill>
      <patternFill patternType="solid">
        <fgColor rgb="FF00FF00"/>
        <bgColor rgb="FF00FF00"/>
      </patternFill>
    </fill>
    <fill>
      <patternFill patternType="solid">
        <fgColor rgb="FF333F4F"/>
        <bgColor rgb="FF333F4F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 shrinkToFit="0" wrapText="1"/>
    </xf>
    <xf borderId="8" fillId="4" fontId="3" numFmtId="0" xfId="0" applyAlignment="1" applyBorder="1" applyFont="1">
      <alignment horizontal="center" shrinkToFit="0" wrapText="1"/>
    </xf>
    <xf borderId="8" fillId="5" fontId="4" numFmtId="0" xfId="0" applyAlignment="1" applyBorder="1" applyFill="1" applyFont="1">
      <alignment horizontal="center" shrinkToFit="0" wrapText="1"/>
    </xf>
    <xf borderId="8" fillId="5" fontId="4" numFmtId="0" xfId="0" applyAlignment="1" applyBorder="1" applyFont="1">
      <alignment horizontal="center" readingOrder="0" shrinkToFit="0" wrapText="1"/>
    </xf>
    <xf borderId="8" fillId="5" fontId="5" numFmtId="0" xfId="0" applyAlignment="1" applyBorder="1" applyFont="1">
      <alignment shrinkToFit="0" wrapText="1"/>
    </xf>
    <xf borderId="8" fillId="5" fontId="6" numFmtId="0" xfId="0" applyAlignment="1" applyBorder="1" applyFont="1">
      <alignment readingOrder="0" shrinkToFit="0" wrapText="1"/>
    </xf>
    <xf borderId="0" fillId="0" fontId="7" numFmtId="0" xfId="0" applyAlignment="1" applyFont="1">
      <alignment shrinkToFit="0" wrapText="1"/>
    </xf>
    <xf borderId="9" fillId="0" fontId="6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horizontal="left" readingOrder="0" shrinkToFit="0" wrapText="1"/>
    </xf>
    <xf borderId="9" fillId="0" fontId="6" numFmtId="0" xfId="0" applyAlignment="1" applyBorder="1" applyFont="1">
      <alignment horizontal="right" readingOrder="0" shrinkToFit="0" wrapText="1"/>
    </xf>
    <xf borderId="9" fillId="6" fontId="6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9" fillId="0" fontId="6" numFmtId="0" xfId="0" applyAlignment="1" applyBorder="1" applyFont="1">
      <alignment horizontal="right" shrinkToFit="0" wrapText="1"/>
    </xf>
    <xf borderId="8" fillId="5" fontId="5" numFmtId="0" xfId="0" applyAlignment="1" applyBorder="1" applyFont="1">
      <alignment horizontal="left" shrinkToFit="0" wrapText="1"/>
    </xf>
    <xf borderId="10" fillId="0" fontId="6" numFmtId="0" xfId="0" applyAlignment="1" applyBorder="1" applyFont="1">
      <alignment readingOrder="0" shrinkToFit="0" wrapText="1"/>
    </xf>
    <xf borderId="9" fillId="0" fontId="6" numFmtId="0" xfId="0" applyAlignment="1" applyBorder="1" applyFont="1">
      <alignment horizontal="center" readingOrder="0" shrinkToFit="0" wrapText="1"/>
    </xf>
    <xf borderId="10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horizontal="left" shrinkToFit="0" wrapText="1"/>
    </xf>
    <xf borderId="9" fillId="0" fontId="6" numFmtId="0" xfId="0" applyAlignment="1" applyBorder="1" applyFont="1">
      <alignment shrinkToFit="0" wrapText="1"/>
    </xf>
    <xf borderId="7" fillId="5" fontId="4" numFmtId="0" xfId="0" applyAlignment="1" applyBorder="1" applyFont="1">
      <alignment readingOrder="0" shrinkToFit="0" wrapText="1"/>
    </xf>
    <xf borderId="7" fillId="7" fontId="3" numFmtId="0" xfId="0" applyAlignment="1" applyBorder="1" applyFill="1" applyFont="1">
      <alignment shrinkToFit="0" wrapText="1"/>
    </xf>
    <xf borderId="8" fillId="7" fontId="3" numFmtId="0" xfId="0" applyAlignment="1" applyBorder="1" applyFont="1">
      <alignment shrinkToFit="0" wrapText="1"/>
    </xf>
    <xf borderId="8" fillId="7" fontId="3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3" width="12.5"/>
    <col customWidth="1" min="4" max="4" width="14.63"/>
    <col customWidth="1" min="5" max="11" width="12.5"/>
    <col customWidth="1" min="12" max="12" width="13.88"/>
    <col customWidth="1" min="13" max="26" width="12.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</row>
    <row r="4" ht="15.75" customHeight="1">
      <c r="A4" s="9" t="s">
        <v>14</v>
      </c>
      <c r="B4" s="10">
        <v>13.0</v>
      </c>
      <c r="C4" s="11"/>
      <c r="D4" s="11">
        <f t="shared" ref="D4:J4" si="1">SUM(D5:D9)</f>
        <v>8</v>
      </c>
      <c r="E4" s="11">
        <f t="shared" si="1"/>
        <v>2</v>
      </c>
      <c r="F4" s="11">
        <f t="shared" si="1"/>
        <v>2.5</v>
      </c>
      <c r="G4" s="11">
        <f t="shared" si="1"/>
        <v>1.5</v>
      </c>
      <c r="H4" s="11">
        <f t="shared" si="1"/>
        <v>2</v>
      </c>
      <c r="I4" s="11">
        <f t="shared" si="1"/>
        <v>0</v>
      </c>
      <c r="J4" s="11">
        <f t="shared" si="1"/>
        <v>0</v>
      </c>
      <c r="K4" s="12" t="s">
        <v>15</v>
      </c>
      <c r="L4" s="11"/>
    </row>
    <row r="5" ht="15.75" customHeight="1">
      <c r="A5" s="13" t="s">
        <v>16</v>
      </c>
      <c r="B5" s="14"/>
      <c r="C5" s="15" t="s">
        <v>17</v>
      </c>
      <c r="D5" s="16">
        <v>2.0</v>
      </c>
      <c r="E5" s="16">
        <v>1.0</v>
      </c>
      <c r="F5" s="16">
        <v>1.0</v>
      </c>
      <c r="G5" s="16">
        <v>0.0</v>
      </c>
      <c r="H5" s="16">
        <v>0.0</v>
      </c>
      <c r="I5" s="16">
        <v>0.0</v>
      </c>
      <c r="J5" s="16">
        <v>0.0</v>
      </c>
      <c r="K5" s="17" t="s">
        <v>15</v>
      </c>
      <c r="L5" s="16">
        <v>2.0</v>
      </c>
    </row>
    <row r="6" ht="15.75" customHeight="1">
      <c r="A6" s="18" t="s">
        <v>18</v>
      </c>
      <c r="B6" s="14"/>
      <c r="C6" s="15" t="s">
        <v>17</v>
      </c>
      <c r="D6" s="16">
        <v>3.0</v>
      </c>
      <c r="E6" s="16">
        <v>1.0</v>
      </c>
      <c r="F6" s="16">
        <v>1.5</v>
      </c>
      <c r="G6" s="16">
        <v>0.5</v>
      </c>
      <c r="H6" s="16">
        <v>0.0</v>
      </c>
      <c r="I6" s="16">
        <v>0.0</v>
      </c>
      <c r="J6" s="16">
        <v>0.0</v>
      </c>
      <c r="K6" s="17" t="s">
        <v>15</v>
      </c>
      <c r="L6" s="16">
        <v>3.0</v>
      </c>
    </row>
    <row r="7" ht="15.75" customHeight="1">
      <c r="A7" s="13" t="s">
        <v>19</v>
      </c>
      <c r="B7" s="14"/>
      <c r="C7" s="15" t="s">
        <v>17</v>
      </c>
      <c r="D7" s="19">
        <v>1.0</v>
      </c>
      <c r="E7" s="16">
        <v>0.0</v>
      </c>
      <c r="F7" s="16">
        <v>0.0</v>
      </c>
      <c r="G7" s="16">
        <v>1.0</v>
      </c>
      <c r="H7" s="16">
        <v>0.0</v>
      </c>
      <c r="I7" s="16">
        <v>0.0</v>
      </c>
      <c r="J7" s="16">
        <v>0.0</v>
      </c>
      <c r="K7" s="17" t="s">
        <v>15</v>
      </c>
      <c r="L7" s="16">
        <v>1.0</v>
      </c>
    </row>
    <row r="8" ht="15.75" customHeight="1">
      <c r="A8" s="13" t="s">
        <v>20</v>
      </c>
      <c r="B8" s="14"/>
      <c r="C8" s="15" t="s">
        <v>17</v>
      </c>
      <c r="D8" s="16">
        <v>1.0</v>
      </c>
      <c r="E8" s="16">
        <v>0.0</v>
      </c>
      <c r="F8" s="16">
        <v>0.0</v>
      </c>
      <c r="G8" s="16">
        <v>0.0</v>
      </c>
      <c r="H8" s="16">
        <v>1.0</v>
      </c>
      <c r="I8" s="16">
        <v>0.0</v>
      </c>
      <c r="J8" s="16">
        <v>0.0</v>
      </c>
      <c r="K8" s="17" t="s">
        <v>15</v>
      </c>
      <c r="L8" s="16">
        <v>1.0</v>
      </c>
    </row>
    <row r="9" ht="15.75" customHeight="1">
      <c r="A9" s="13" t="s">
        <v>21</v>
      </c>
      <c r="B9" s="14"/>
      <c r="C9" s="15" t="s">
        <v>17</v>
      </c>
      <c r="D9" s="16">
        <v>1.0</v>
      </c>
      <c r="E9" s="16">
        <v>0.0</v>
      </c>
      <c r="F9" s="16">
        <v>0.0</v>
      </c>
      <c r="G9" s="16">
        <v>0.0</v>
      </c>
      <c r="H9" s="16">
        <v>1.0</v>
      </c>
      <c r="I9" s="16">
        <v>0.0</v>
      </c>
      <c r="J9" s="16">
        <v>0.0</v>
      </c>
      <c r="K9" s="17" t="s">
        <v>15</v>
      </c>
      <c r="L9" s="16">
        <v>1.0</v>
      </c>
    </row>
    <row r="10" ht="23.25" customHeight="1">
      <c r="A10" s="9" t="s">
        <v>22</v>
      </c>
      <c r="B10" s="10">
        <v>8.0</v>
      </c>
      <c r="C10" s="20"/>
      <c r="D10" s="11">
        <f t="shared" ref="D10:J10" si="2">SUM(D11:D15)</f>
        <v>7</v>
      </c>
      <c r="E10" s="11">
        <f t="shared" si="2"/>
        <v>3.5</v>
      </c>
      <c r="F10" s="11">
        <f t="shared" si="2"/>
        <v>1.5</v>
      </c>
      <c r="G10" s="11">
        <f t="shared" si="2"/>
        <v>2</v>
      </c>
      <c r="H10" s="11">
        <f t="shared" si="2"/>
        <v>0</v>
      </c>
      <c r="I10" s="11">
        <f t="shared" si="2"/>
        <v>0</v>
      </c>
      <c r="J10" s="11">
        <f t="shared" si="2"/>
        <v>0</v>
      </c>
      <c r="K10" s="12" t="s">
        <v>15</v>
      </c>
      <c r="L10" s="11"/>
    </row>
    <row r="11" ht="15.75" customHeight="1">
      <c r="A11" s="13" t="s">
        <v>23</v>
      </c>
      <c r="B11" s="14"/>
      <c r="C11" s="15" t="s">
        <v>17</v>
      </c>
      <c r="D11" s="16">
        <v>1.0</v>
      </c>
      <c r="E11" s="16">
        <v>1.0</v>
      </c>
      <c r="F11" s="16">
        <v>0.0</v>
      </c>
      <c r="G11" s="16">
        <v>0.0</v>
      </c>
      <c r="H11" s="16">
        <v>0.0</v>
      </c>
      <c r="I11" s="16">
        <v>0.0</v>
      </c>
      <c r="J11" s="16">
        <v>0.0</v>
      </c>
      <c r="K11" s="17" t="s">
        <v>15</v>
      </c>
      <c r="L11" s="16">
        <v>1.0</v>
      </c>
    </row>
    <row r="12" ht="15.75" customHeight="1">
      <c r="A12" s="13" t="s">
        <v>24</v>
      </c>
      <c r="B12" s="14"/>
      <c r="C12" s="15" t="s">
        <v>25</v>
      </c>
      <c r="D12" s="16">
        <v>2.0</v>
      </c>
      <c r="E12" s="16">
        <v>1.5</v>
      </c>
      <c r="F12" s="16">
        <v>0.5</v>
      </c>
      <c r="G12" s="16">
        <v>0.0</v>
      </c>
      <c r="H12" s="16">
        <v>0.0</v>
      </c>
      <c r="I12" s="16">
        <v>0.0</v>
      </c>
      <c r="J12" s="16">
        <v>0.0</v>
      </c>
      <c r="K12" s="17" t="s">
        <v>15</v>
      </c>
      <c r="L12" s="16">
        <v>2.0</v>
      </c>
    </row>
    <row r="13" ht="15.75" customHeight="1">
      <c r="A13" s="13" t="s">
        <v>26</v>
      </c>
      <c r="B13" s="14"/>
      <c r="C13" s="15" t="s">
        <v>25</v>
      </c>
      <c r="D13" s="16">
        <v>1.0</v>
      </c>
      <c r="E13" s="16">
        <v>1.0</v>
      </c>
      <c r="F13" s="16">
        <v>0.0</v>
      </c>
      <c r="G13" s="16">
        <v>0.0</v>
      </c>
      <c r="H13" s="16">
        <v>0.0</v>
      </c>
      <c r="I13" s="16">
        <v>0.0</v>
      </c>
      <c r="J13" s="16">
        <v>0.0</v>
      </c>
      <c r="K13" s="17" t="s">
        <v>15</v>
      </c>
      <c r="L13" s="16">
        <v>1.0</v>
      </c>
    </row>
    <row r="14" ht="15.75" customHeight="1">
      <c r="A14" s="18" t="s">
        <v>27</v>
      </c>
      <c r="B14" s="14"/>
      <c r="C14" s="15" t="s">
        <v>25</v>
      </c>
      <c r="D14" s="16">
        <v>1.0</v>
      </c>
      <c r="E14" s="16">
        <v>0.0</v>
      </c>
      <c r="F14" s="16">
        <v>1.0</v>
      </c>
      <c r="G14" s="16">
        <v>0.0</v>
      </c>
      <c r="H14" s="16">
        <v>0.0</v>
      </c>
      <c r="I14" s="16">
        <v>0.0</v>
      </c>
      <c r="J14" s="16">
        <v>0.0</v>
      </c>
      <c r="K14" s="17" t="s">
        <v>15</v>
      </c>
      <c r="L14" s="16">
        <v>1.0</v>
      </c>
    </row>
    <row r="15" ht="15.75" customHeight="1">
      <c r="A15" s="13" t="s">
        <v>28</v>
      </c>
      <c r="B15" s="14"/>
      <c r="C15" s="15" t="s">
        <v>25</v>
      </c>
      <c r="D15" s="16">
        <v>2.0</v>
      </c>
      <c r="E15" s="16">
        <v>0.0</v>
      </c>
      <c r="F15" s="16">
        <v>0.0</v>
      </c>
      <c r="G15" s="16">
        <v>2.0</v>
      </c>
      <c r="H15" s="16">
        <v>0.0</v>
      </c>
      <c r="I15" s="16">
        <v>0.0</v>
      </c>
      <c r="J15" s="16">
        <v>0.0</v>
      </c>
      <c r="K15" s="17" t="s">
        <v>15</v>
      </c>
      <c r="L15" s="16">
        <v>2.0</v>
      </c>
    </row>
    <row r="16" ht="15.75" customHeight="1">
      <c r="A16" s="9" t="s">
        <v>29</v>
      </c>
      <c r="B16" s="10">
        <v>8.0</v>
      </c>
      <c r="C16" s="20"/>
      <c r="D16" s="11">
        <f t="shared" ref="D16:J16" si="3">SUM(D17:D20)</f>
        <v>4</v>
      </c>
      <c r="E16" s="11">
        <f t="shared" si="3"/>
        <v>2</v>
      </c>
      <c r="F16" s="11">
        <f t="shared" si="3"/>
        <v>1</v>
      </c>
      <c r="G16" s="11">
        <f t="shared" si="3"/>
        <v>1</v>
      </c>
      <c r="H16" s="11">
        <f t="shared" si="3"/>
        <v>0</v>
      </c>
      <c r="I16" s="11">
        <f t="shared" si="3"/>
        <v>0</v>
      </c>
      <c r="J16" s="11">
        <f t="shared" si="3"/>
        <v>0</v>
      </c>
      <c r="K16" s="12" t="s">
        <v>15</v>
      </c>
      <c r="L16" s="11"/>
    </row>
    <row r="17" ht="15.75" customHeight="1">
      <c r="A17" s="21" t="s">
        <v>30</v>
      </c>
      <c r="B17" s="22"/>
      <c r="C17" s="15" t="s">
        <v>17</v>
      </c>
      <c r="D17" s="16">
        <v>1.0</v>
      </c>
      <c r="E17" s="16">
        <v>0.0</v>
      </c>
      <c r="F17" s="16">
        <v>0.0</v>
      </c>
      <c r="G17" s="16">
        <v>1.0</v>
      </c>
      <c r="H17" s="16">
        <v>0.0</v>
      </c>
      <c r="I17" s="16">
        <v>0.0</v>
      </c>
      <c r="J17" s="16">
        <v>0.0</v>
      </c>
      <c r="K17" s="17" t="s">
        <v>15</v>
      </c>
      <c r="L17" s="16">
        <v>1.0</v>
      </c>
    </row>
    <row r="18" ht="15.75" customHeight="1">
      <c r="A18" s="21" t="s">
        <v>31</v>
      </c>
      <c r="B18" s="22"/>
      <c r="C18" s="15" t="s">
        <v>32</v>
      </c>
      <c r="D18" s="16">
        <v>2.0</v>
      </c>
      <c r="E18" s="16">
        <v>2.0</v>
      </c>
      <c r="F18" s="16">
        <v>0.0</v>
      </c>
      <c r="G18" s="16">
        <v>0.0</v>
      </c>
      <c r="H18" s="16">
        <v>0.0</v>
      </c>
      <c r="I18" s="16">
        <v>0.0</v>
      </c>
      <c r="J18" s="16">
        <v>0.0</v>
      </c>
      <c r="K18" s="17" t="s">
        <v>15</v>
      </c>
      <c r="L18" s="16">
        <v>2.0</v>
      </c>
    </row>
    <row r="19" ht="15.75" customHeight="1">
      <c r="A19" s="21" t="s">
        <v>33</v>
      </c>
      <c r="B19" s="22"/>
      <c r="C19" s="15" t="s">
        <v>32</v>
      </c>
      <c r="D19" s="16">
        <v>1.0</v>
      </c>
      <c r="E19" s="16">
        <v>0.0</v>
      </c>
      <c r="F19" s="16">
        <v>1.0</v>
      </c>
      <c r="G19" s="16">
        <v>0.0</v>
      </c>
      <c r="H19" s="16">
        <v>0.0</v>
      </c>
      <c r="I19" s="16">
        <v>0.0</v>
      </c>
      <c r="J19" s="16">
        <v>0.0</v>
      </c>
      <c r="K19" s="17" t="s">
        <v>15</v>
      </c>
      <c r="L19" s="16">
        <v>1.0</v>
      </c>
    </row>
    <row r="20" ht="15.75" customHeight="1">
      <c r="A20" s="23"/>
      <c r="B20" s="14"/>
      <c r="C20" s="24"/>
      <c r="D20" s="19"/>
      <c r="E20" s="19"/>
      <c r="F20" s="19"/>
      <c r="G20" s="19"/>
      <c r="H20" s="19"/>
      <c r="I20" s="19"/>
      <c r="J20" s="19"/>
      <c r="K20" s="25"/>
      <c r="L20" s="16"/>
    </row>
    <row r="21" ht="15.75" customHeight="1">
      <c r="A21" s="26" t="s">
        <v>34</v>
      </c>
      <c r="B21" s="10">
        <v>5.0</v>
      </c>
      <c r="C21" s="20"/>
      <c r="D21" s="11">
        <f t="shared" ref="D21:J21" si="4">SUM(D22:D25)</f>
        <v>3</v>
      </c>
      <c r="E21" s="11">
        <f t="shared" si="4"/>
        <v>0</v>
      </c>
      <c r="F21" s="11">
        <f t="shared" si="4"/>
        <v>0</v>
      </c>
      <c r="G21" s="11">
        <f t="shared" si="4"/>
        <v>0</v>
      </c>
      <c r="H21" s="11">
        <f t="shared" si="4"/>
        <v>3</v>
      </c>
      <c r="I21" s="11">
        <f t="shared" si="4"/>
        <v>0</v>
      </c>
      <c r="J21" s="11">
        <f t="shared" si="4"/>
        <v>0</v>
      </c>
      <c r="K21" s="12" t="s">
        <v>15</v>
      </c>
      <c r="L21" s="11"/>
    </row>
    <row r="22" ht="15.75" customHeight="1">
      <c r="A22" s="21" t="s">
        <v>35</v>
      </c>
      <c r="B22" s="14"/>
      <c r="C22" s="15" t="s">
        <v>17</v>
      </c>
      <c r="D22" s="16">
        <v>2.0</v>
      </c>
      <c r="E22" s="16">
        <v>0.0</v>
      </c>
      <c r="F22" s="16">
        <v>0.0</v>
      </c>
      <c r="G22" s="16">
        <v>0.0</v>
      </c>
      <c r="H22" s="16">
        <v>2.0</v>
      </c>
      <c r="I22" s="16">
        <v>0.0</v>
      </c>
      <c r="J22" s="16">
        <v>0.0</v>
      </c>
      <c r="K22" s="17" t="s">
        <v>15</v>
      </c>
      <c r="L22" s="16">
        <v>2.0</v>
      </c>
    </row>
    <row r="23" ht="15.75" customHeight="1">
      <c r="A23" s="21" t="s">
        <v>36</v>
      </c>
      <c r="B23" s="14"/>
      <c r="C23" s="15" t="s">
        <v>17</v>
      </c>
      <c r="D23" s="16">
        <v>1.0</v>
      </c>
      <c r="E23" s="16">
        <v>0.0</v>
      </c>
      <c r="F23" s="16">
        <v>0.0</v>
      </c>
      <c r="G23" s="16">
        <v>0.0</v>
      </c>
      <c r="H23" s="16">
        <v>1.0</v>
      </c>
      <c r="I23" s="16">
        <v>0.0</v>
      </c>
      <c r="J23" s="16">
        <v>0.0</v>
      </c>
      <c r="K23" s="17" t="s">
        <v>15</v>
      </c>
      <c r="L23" s="16">
        <v>1.0</v>
      </c>
    </row>
    <row r="24" ht="15.75" customHeight="1">
      <c r="A24" s="23"/>
      <c r="B24" s="14"/>
      <c r="C24" s="24"/>
      <c r="D24" s="19"/>
      <c r="E24" s="19"/>
      <c r="F24" s="19"/>
      <c r="G24" s="19"/>
      <c r="H24" s="19"/>
      <c r="I24" s="19"/>
      <c r="J24" s="19"/>
      <c r="K24" s="25"/>
      <c r="L24" s="19"/>
    </row>
    <row r="25" ht="15.75" customHeight="1">
      <c r="A25" s="23"/>
      <c r="B25" s="14"/>
      <c r="C25" s="24"/>
      <c r="D25" s="19"/>
      <c r="E25" s="19"/>
      <c r="F25" s="19"/>
      <c r="G25" s="19"/>
      <c r="H25" s="19"/>
      <c r="I25" s="19"/>
      <c r="J25" s="19"/>
      <c r="K25" s="25"/>
      <c r="L25" s="19"/>
    </row>
    <row r="26" ht="15.75" customHeight="1">
      <c r="A26" s="26" t="s">
        <v>37</v>
      </c>
      <c r="B26" s="10">
        <v>5.0</v>
      </c>
      <c r="C26" s="20"/>
      <c r="D26" s="11">
        <f t="shared" ref="D26:J26" si="5">SUM(D27:D30)</f>
        <v>4</v>
      </c>
      <c r="E26" s="11">
        <f t="shared" si="5"/>
        <v>0</v>
      </c>
      <c r="F26" s="11">
        <f t="shared" si="5"/>
        <v>0</v>
      </c>
      <c r="G26" s="11">
        <f t="shared" si="5"/>
        <v>1</v>
      </c>
      <c r="H26" s="11">
        <f t="shared" si="5"/>
        <v>3</v>
      </c>
      <c r="I26" s="11">
        <f t="shared" si="5"/>
        <v>0</v>
      </c>
      <c r="J26" s="11">
        <f t="shared" si="5"/>
        <v>0</v>
      </c>
      <c r="K26" s="12" t="s">
        <v>15</v>
      </c>
      <c r="L26" s="11"/>
    </row>
    <row r="27" ht="15.75" customHeight="1">
      <c r="A27" s="21" t="s">
        <v>38</v>
      </c>
      <c r="B27" s="14"/>
      <c r="C27" s="15" t="s">
        <v>17</v>
      </c>
      <c r="D27" s="16">
        <v>1.0</v>
      </c>
      <c r="E27" s="16">
        <v>0.0</v>
      </c>
      <c r="F27" s="16">
        <v>0.0</v>
      </c>
      <c r="G27" s="16">
        <v>1.0</v>
      </c>
      <c r="H27" s="16">
        <v>0.0</v>
      </c>
      <c r="I27" s="16">
        <v>0.0</v>
      </c>
      <c r="J27" s="16">
        <v>0.0</v>
      </c>
      <c r="K27" s="17" t="s">
        <v>15</v>
      </c>
      <c r="L27" s="16">
        <v>0.0</v>
      </c>
    </row>
    <row r="28" ht="15.75" customHeight="1">
      <c r="A28" s="21" t="s">
        <v>39</v>
      </c>
      <c r="B28" s="14"/>
      <c r="C28" s="15" t="s">
        <v>40</v>
      </c>
      <c r="D28" s="16">
        <v>2.0</v>
      </c>
      <c r="E28" s="16">
        <v>0.0</v>
      </c>
      <c r="F28" s="16">
        <v>0.0</v>
      </c>
      <c r="G28" s="16">
        <v>0.0</v>
      </c>
      <c r="H28" s="16">
        <v>2.0</v>
      </c>
      <c r="I28" s="16">
        <v>0.0</v>
      </c>
      <c r="J28" s="16">
        <v>0.0</v>
      </c>
      <c r="K28" s="17" t="s">
        <v>15</v>
      </c>
      <c r="L28" s="16">
        <v>0.0</v>
      </c>
    </row>
    <row r="29" ht="15.75" customHeight="1">
      <c r="A29" s="21" t="s">
        <v>41</v>
      </c>
      <c r="B29" s="14"/>
      <c r="C29" s="15" t="s">
        <v>40</v>
      </c>
      <c r="D29" s="16">
        <v>1.0</v>
      </c>
      <c r="E29" s="16">
        <v>0.0</v>
      </c>
      <c r="F29" s="16">
        <v>0.0</v>
      </c>
      <c r="G29" s="16">
        <v>0.0</v>
      </c>
      <c r="H29" s="16">
        <v>1.0</v>
      </c>
      <c r="I29" s="16">
        <v>0.0</v>
      </c>
      <c r="J29" s="16">
        <v>0.0</v>
      </c>
      <c r="K29" s="17" t="s">
        <v>15</v>
      </c>
      <c r="L29" s="16">
        <v>0.0</v>
      </c>
    </row>
    <row r="30" ht="15.75" customHeight="1">
      <c r="A30" s="23"/>
      <c r="B30" s="14"/>
      <c r="C30" s="24"/>
      <c r="D30" s="19"/>
      <c r="E30" s="19"/>
      <c r="F30" s="19"/>
      <c r="G30" s="19"/>
      <c r="H30" s="19"/>
      <c r="I30" s="19"/>
      <c r="J30" s="19"/>
      <c r="K30" s="25"/>
      <c r="L30" s="19"/>
    </row>
    <row r="31" ht="15.75" customHeight="1">
      <c r="A31" s="27" t="s">
        <v>42</v>
      </c>
      <c r="B31" s="28"/>
      <c r="C31" s="28"/>
      <c r="D31" s="29">
        <f t="shared" ref="D31:J31" si="6">D4+D10+D16+D21+D26</f>
        <v>26</v>
      </c>
      <c r="E31" s="29">
        <f t="shared" si="6"/>
        <v>7.5</v>
      </c>
      <c r="F31" s="29">
        <f t="shared" si="6"/>
        <v>5</v>
      </c>
      <c r="G31" s="29">
        <f t="shared" si="6"/>
        <v>5.5</v>
      </c>
      <c r="H31" s="29">
        <f t="shared" si="6"/>
        <v>8</v>
      </c>
      <c r="I31" s="29">
        <f t="shared" si="6"/>
        <v>0</v>
      </c>
      <c r="J31" s="29">
        <f t="shared" si="6"/>
        <v>0</v>
      </c>
      <c r="K31" s="28"/>
      <c r="L31" s="29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dataValidations>
    <dataValidation type="list" allowBlank="1" showErrorMessage="1" sqref="C5:C9 C11:C15 C17:C19 C22:C23 C27:C29">
      <formula1>"Brad,Josh,Kenny,Maddy,Robert"</formula1>
    </dataValidation>
    <dataValidation type="list" allowBlank="1" showErrorMessage="1" sqref="K4:K30">
      <formula1>"To Do,Doing,Done"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